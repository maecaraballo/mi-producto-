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servas" sheetId="2" state="visible" r:id="rId4"/>
    <sheet name="Alc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<sst xmlns="http://schemas.openxmlformats.org/spreadsheetml/2006/main" count="88" uniqueCount="84">
  <si>
    <t xml:space="preserve">T1 · Fake door de la carta de Carabalo Cakes</t>
  </si>
  <si>
    <t xml:space="preserve">Creencia #6: les resulta aceptable encargar con días de anticipación. Todo se calcula desde las hojas Reservas y Alcance.</t>
  </si>
  <si>
    <t xml:space="preserve">Indicador</t>
  </si>
  <si>
    <t xml:space="preserve">Valor</t>
  </si>
  <si>
    <t xml:space="preserve">Cómo se lee</t>
  </si>
  <si>
    <t xml:space="preserve">Reservas válidas que cuentan</t>
  </si>
  <si>
    <t xml:space="preserve">Válidas (postre + fecha a 3 días o más + entrega o retiro) y de alguien que no es familia directa.</t>
  </si>
  <si>
    <t xml:space="preserve">Umbral</t>
  </si>
  <si>
    <t xml:space="preserve">Del archivo de tests. Elección de María Eugenia por su capacidad de producción; no se mueve después de ver los datos.</t>
  </si>
  <si>
    <t xml:space="preserve">De esas, cuántas son de amigos</t>
  </si>
  <si>
    <t xml:space="preserve">Con 2 o más, el resultado es señal débil.</t>
  </si>
  <si>
    <t xml:space="preserve">Señal débil</t>
  </si>
  <si>
    <t xml:space="preserve">Si es 'si', un continue no mueve la creencia.</t>
  </si>
  <si>
    <t xml:space="preserve">Pidieron una fecha a menos de 3 días</t>
  </si>
  <si>
    <t xml:space="preserve">Con 3 o más, la regla dice change (el plazo es la barrera).</t>
  </si>
  <si>
    <t xml:space="preserve">Personas alcanzadas (sin familia directa)</t>
  </si>
  <si>
    <t xml:space="preserve">Acumulado de personas distintas que vieron el estado o leyeron el mensaje del grupo.</t>
  </si>
  <si>
    <t xml:space="preserve">Piso de exposición</t>
  </si>
  <si>
    <t xml:space="preserve">Del archivo de tests. Por debajo de 30 no se decide.</t>
  </si>
  <si>
    <t xml:space="preserve">Lectura provisional</t>
  </si>
  <si>
    <t xml:space="preserve">Ayuda para leer; no decide. La decisión se toma al cierre con la regla del archivo de tests. 'revisar a mano' = 0 reservas y 1 o 2 pedidos de fecha cercana, un caso que la regla no cubre.</t>
  </si>
  <si>
    <t xml:space="preserve">Fechas y reglas</t>
  </si>
  <si>
    <t xml:space="preserve">Publicación</t>
  </si>
  <si>
    <t xml:space="preserve">12/10/2026, a la noche</t>
  </si>
  <si>
    <t xml:space="preserve">Cierre (4 días corridos)</t>
  </si>
  <si>
    <t xml:space="preserve">16/10/2026, a la misma hora</t>
  </si>
  <si>
    <t xml:space="preserve">Extensión única</t>
  </si>
  <si>
    <t xml:space="preserve">Hasta el 19/10/2026, solo si al cierre hay menos de 30 alcanzadas</t>
  </si>
  <si>
    <t xml:space="preserve">Responder cada mensaje</t>
  </si>
  <si>
    <t xml:space="preserve">Dentro de las 24 h</t>
  </si>
  <si>
    <t xml:space="preserve">Qué es una reserva válida</t>
  </si>
  <si>
    <t xml:space="preserve">Postre + fecha de una reunión real a 3 días o más del mensaje + entrega o retiro</t>
  </si>
  <si>
    <t xml:space="preserve">Qué no cuenta</t>
  </si>
  <si>
    <t xml:space="preserve">Familia directa (y tu esposo) puede reservar y opinar, pero no suma al umbral ni al alcance</t>
  </si>
  <si>
    <t xml:space="preserve">Qué no se hace</t>
  </si>
  <si>
    <t xml:space="preserve">Prometer entrega, cobrar, cambiar la carta durante la prueba</t>
  </si>
  <si>
    <t xml:space="preserve">Leyenda</t>
  </si>
  <si>
    <t xml:space="preserve">Amarillo</t>
  </si>
  <si>
    <t xml:space="preserve">Dato pendiente de completar (filas R1 y R2 de Reservas).</t>
  </si>
  <si>
    <t xml:space="preserve">Gris</t>
  </si>
  <si>
    <t xml:space="preserve">Fórmula: no se edita.</t>
  </si>
  <si>
    <t xml:space="preserve">Filas R1 y R2</t>
  </si>
  <si>
    <t xml:space="preserve">Son los dos primeros mensajes reales del 12/10. Falta la fecha de reunión de R1 y la entrega o retiro de ambos. Instagram no era un canal del diseño (grupo de vecinos y estados): su alcance no entra en la hoja Alcance salvo que lo sumes.</t>
  </si>
  <si>
    <t xml:space="preserve">id</t>
  </si>
  <si>
    <t xml:space="preserve">fecha_hora_mensaje</t>
  </si>
  <si>
    <t xml:space="preserve">nombre_o_alias</t>
  </si>
  <si>
    <t xml:space="preserve">cercania</t>
  </si>
  <si>
    <t xml:space="preserve">canal</t>
  </si>
  <si>
    <t xml:space="preserve">postre</t>
  </si>
  <si>
    <t xml:space="preserve">fecha_reunion</t>
  </si>
  <si>
    <t xml:space="preserve">dias_de_anticipacion</t>
  </si>
  <si>
    <t xml:space="preserve">entrega_o_retiro</t>
  </si>
  <si>
    <t xml:space="preserve">reserva_valida</t>
  </si>
  <si>
    <t xml:space="preserve">cuenta_para_umbral</t>
  </si>
  <si>
    <t xml:space="preserve">motivo_si_no_valida</t>
  </si>
  <si>
    <t xml:space="preserve">pidio_fecha_menor_a_3_dias</t>
  </si>
  <si>
    <t xml:space="preserve">pregunto_precio</t>
  </si>
  <si>
    <t xml:space="preserve">feedback_textual</t>
  </si>
  <si>
    <t xml:space="preserve">notas</t>
  </si>
  <si>
    <t xml:space="preserve">R1</t>
  </si>
  <si>
    <t xml:space="preserve">Vecino (consultó el precio del Brownie)</t>
  </si>
  <si>
    <t xml:space="preserve">conocido-vecino</t>
  </si>
  <si>
    <t xml:space="preserve">whatsapp</t>
  </si>
  <si>
    <t xml:space="preserve">Brownie</t>
  </si>
  <si>
    <t xml:space="preserve">no_completo_datos</t>
  </si>
  <si>
    <t xml:space="preserve">no</t>
  </si>
  <si>
    <t xml:space="preserve">si</t>
  </si>
  <si>
    <t xml:space="preserve">Preguntó el precio. Todavía no reservó: faltan fecha de reunión y entrega o retiro. Canal WhatsApp (sin precisar si fue el grupo o el estado).</t>
  </si>
  <si>
    <t xml:space="preserve">R2</t>
  </si>
  <si>
    <t xml:space="preserve">Pedido torta de zanahoria (20/10)</t>
  </si>
  <si>
    <t xml:space="preserve">amigo</t>
  </si>
  <si>
    <t xml:space="preserve">instagram</t>
  </si>
  <si>
    <t xml:space="preserve">Torta de zanahoria</t>
  </si>
  <si>
    <t xml:space="preserve">Quiere agregar dulce de leche (personalización fuera de carta). Amigo de la familia; escribió por Instagram. Pendiente: entrega o retiro. Pasa a válida cuando se complete.</t>
  </si>
  <si>
    <t xml:space="preserve">dia</t>
  </si>
  <si>
    <t xml:space="preserve">fecha</t>
  </si>
  <si>
    <t xml:space="preserve">nombres_nuevos_no_familia</t>
  </si>
  <si>
    <t xml:space="preserve">cantidad_nuevos</t>
  </si>
  <si>
    <t xml:space="preserve">acumulado_distintos</t>
  </si>
  <si>
    <t xml:space="preserve">nota</t>
  </si>
  <si>
    <t xml:space="preserve">Día de publicación (12/10, a la noche).</t>
  </si>
  <si>
    <t xml:space="preserve">Cierre de los 4 días corridos: 16/10, a la misma hora de publicación.</t>
  </si>
  <si>
    <t xml:space="preserve">Extensión única de 3 días: solo si el acumulado al cierre es menor a 30.</t>
  </si>
  <si>
    <t xml:space="preserve">Cómo completar: cada día escribí en la columna C solo los nombres NUEVOS (que no estaban en días anteriores), separados por ';', sin familia directa. La cantidad y el acumulado se calculan solos.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</si>
</sst>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3B3B"/>
        <bgColor rgb="FF333300"/>
      </patternFill>
    </fill>
    <fill>
      <patternFill patternType="solid">
        <fgColor rgb="FFE7E7E7"/>
        <bgColor rgb="FFFFFFFF"/>
      </patternFill>
    </fill>
    <fill>
      <patternFill patternType="solid">
        <fgColor rgb="FFFFF2A8"/>
        <bgColor rgb="FFE7E7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7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n">
        <f aca="false">COUNTIF(Reservas!$K$2:$K$60,"si")</f>
        <v>0</v>
      </c>
      <c r="C5" s="4" t="s">
        <v>6</v>
      </c>
    </row>
    <row r="6" customFormat="false" ht="30" hidden="false" customHeight="true" outlineLevel="0" collapsed="false">
      <c r="A6" s="4" t="s">
        <v>7</v>
      </c>
      <c r="B6" s="6" t="n">
        <v>3</v>
      </c>
      <c r="C6" s="4" t="s">
        <v>8</v>
      </c>
    </row>
    <row r="7" customFormat="false" ht="30" hidden="false" customHeight="true" outlineLevel="0" collapsed="false">
      <c r="A7" s="4" t="s">
        <v>9</v>
      </c>
      <c r="B7" s="5" t="n">
        <f aca="false">COUNTIFS(Reservas!$K$2:$K$60,"si",Reservas!$D$2:$D$60,"amigo")</f>
        <v>0</v>
      </c>
      <c r="C7" s="4" t="s">
        <v>10</v>
      </c>
    </row>
    <row r="8" customFormat="false" ht="30" hidden="false" customHeight="true" outlineLevel="0" collapsed="false">
      <c r="A8" s="4" t="s">
        <v>11</v>
      </c>
      <c r="B8" s="5" t="str">
        <f aca="false">IF(B7&gt;=2,"si","no")</f>
        <v>no</v>
      </c>
      <c r="C8" s="4" t="s">
        <v>12</v>
      </c>
    </row>
    <row r="9" customFormat="false" ht="30" hidden="false" customHeight="true" outlineLevel="0" collapsed="false">
      <c r="A9" s="4" t="s">
        <v>13</v>
      </c>
      <c r="B9" s="5" t="n">
        <f aca="false">COUNTIF(Reservas!$M$2:$M$60,"si")</f>
        <v>0</v>
      </c>
      <c r="C9" s="4" t="s">
        <v>14</v>
      </c>
    </row>
    <row r="10" customFormat="false" ht="30" hidden="false" customHeight="true" outlineLevel="0" collapsed="false">
      <c r="A10" s="4" t="s">
        <v>15</v>
      </c>
      <c r="B10" s="5" t="n">
        <f aca="false">MAX(Alcance!$E$2:$E$9)</f>
        <v>0</v>
      </c>
      <c r="C10" s="4" t="s">
        <v>16</v>
      </c>
    </row>
    <row r="11" customFormat="false" ht="30" hidden="false" customHeight="true" outlineLevel="0" collapsed="false">
      <c r="A11" s="4" t="s">
        <v>17</v>
      </c>
      <c r="B11" s="6" t="n">
        <v>30</v>
      </c>
      <c r="C11" s="4" t="s">
        <v>18</v>
      </c>
    </row>
    <row r="12" customFormat="false" ht="43.5" hidden="false" customHeight="true" outlineLevel="0" collapsed="false">
      <c r="A12" s="7" t="s">
        <v>19</v>
      </c>
      <c r="B12" s="8" t="str">
        <f aca="false">IF(B10&lt;B11,"inconclusive: faltan alcanzadas",IF(B5&gt;=B6,IF(B8="si","continue (señal débil)","continue"),IF(B5&gt;=1,"change",IF(B9&gt;=3,"change",IF(B9=0,"discard","revisar a mano")))))</f>
        <v>inconclusive: faltan alcanzadas</v>
      </c>
      <c r="C12" s="4" t="s">
        <v>20</v>
      </c>
    </row>
    <row r="14" customFormat="false" ht="15" hidden="false" customHeight="false" outlineLevel="0" collapsed="false">
      <c r="A14" s="9" t="s">
        <v>21</v>
      </c>
    </row>
    <row r="15" customFormat="false" ht="15" hidden="false" customHeight="true" outlineLevel="0" collapsed="false">
      <c r="A15" s="2" t="s">
        <v>22</v>
      </c>
      <c r="B15" s="10" t="s">
        <v>23</v>
      </c>
      <c r="C15" s="10"/>
    </row>
    <row r="16" customFormat="false" ht="15" hidden="false" customHeight="true" outlineLevel="0" collapsed="false">
      <c r="A16" s="2" t="s">
        <v>24</v>
      </c>
      <c r="B16" s="10" t="s">
        <v>25</v>
      </c>
      <c r="C16" s="10"/>
    </row>
    <row r="17" customFormat="false" ht="15" hidden="false" customHeight="true" outlineLevel="0" collapsed="false">
      <c r="A17" s="2" t="s">
        <v>26</v>
      </c>
      <c r="B17" s="10" t="s">
        <v>27</v>
      </c>
      <c r="C17" s="10"/>
    </row>
    <row r="18" customFormat="false" ht="15" hidden="false" customHeight="true" outlineLevel="0" collapsed="false">
      <c r="A18" s="2" t="s">
        <v>28</v>
      </c>
      <c r="B18" s="10" t="s">
        <v>29</v>
      </c>
      <c r="C18" s="10"/>
    </row>
    <row r="19" customFormat="false" ht="15" hidden="false" customHeight="true" outlineLevel="0" collapsed="false">
      <c r="A19" s="2" t="s">
        <v>30</v>
      </c>
      <c r="B19" s="10" t="s">
        <v>31</v>
      </c>
      <c r="C19" s="10"/>
    </row>
    <row r="20" customFormat="false" ht="15" hidden="false" customHeight="true" outlineLevel="0" collapsed="false">
      <c r="A20" s="2" t="s">
        <v>32</v>
      </c>
      <c r="B20" s="10" t="s">
        <v>33</v>
      </c>
      <c r="C20" s="10"/>
    </row>
    <row r="21" customFormat="false" ht="15" hidden="false" customHeight="true" outlineLevel="0" collapsed="false">
      <c r="A21" s="2" t="s">
        <v>34</v>
      </c>
      <c r="B21" s="10" t="s">
        <v>35</v>
      </c>
      <c r="C21" s="10"/>
    </row>
    <row r="23" customFormat="false" ht="15" hidden="false" customHeight="false" outlineLevel="0" collapsed="false">
      <c r="A23" s="9" t="s">
        <v>36</v>
      </c>
    </row>
    <row r="24" customFormat="false" ht="15" hidden="false" customHeight="true" outlineLevel="0" collapsed="false">
      <c r="A24" s="11" t="s">
        <v>37</v>
      </c>
      <c r="B24" s="10" t="s">
        <v>38</v>
      </c>
      <c r="C24" s="10"/>
    </row>
    <row r="25" customFormat="false" ht="15" hidden="false" customHeight="true" outlineLevel="0" collapsed="false">
      <c r="A25" s="12" t="s">
        <v>39</v>
      </c>
      <c r="B25" s="10" t="s">
        <v>40</v>
      </c>
      <c r="C25" s="10"/>
    </row>
    <row r="26" customFormat="false" ht="42" hidden="false" customHeight="true" outlineLevel="0" collapsed="false">
      <c r="A26" s="2" t="s">
        <v>41</v>
      </c>
      <c r="B26" s="10" t="s">
        <v>42</v>
      </c>
      <c r="C26" s="10"/>
    </row>
  </sheetData>
  <mergeCells count="10">
    <mergeCell ref="B15:C15"/>
    <mergeCell ref="B16:C16"/>
    <mergeCell ref="B17:C17"/>
    <mergeCell ref="B18:C18"/>
    <mergeCell ref="B19:C19"/>
    <mergeCell ref="B20:C20"/>
    <mergeCell ref="B21:C21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6" min="16" style="0" width="52"/>
  </cols>
  <sheetData>
    <row r="1" customFormat="false" ht="42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</row>
    <row r="2" customFormat="false" ht="35.05" hidden="false" customHeight="false" outlineLevel="0" collapsed="false">
      <c r="A2" s="4" t="s">
        <v>59</v>
      </c>
      <c r="B2" s="14" t="n">
        <v>46307</v>
      </c>
      <c r="C2" s="4" t="s">
        <v>60</v>
      </c>
      <c r="D2" s="4" t="s">
        <v>61</v>
      </c>
      <c r="E2" s="4" t="s">
        <v>62</v>
      </c>
      <c r="F2" s="4" t="s">
        <v>63</v>
      </c>
      <c r="G2" s="15"/>
      <c r="H2" s="16" t="str">
        <f aca="false">IF(OR(B2="",G2=""),"",INT(G2)-INT(B2))</f>
        <v/>
      </c>
      <c r="I2" s="17"/>
      <c r="J2" s="16" t="str">
        <f aca="false">IF(C2="","",IF(AND(F2&lt;&gt;"",G2&lt;&gt;"",N(H2)&gt;=3,I2&lt;&gt;""),"si","no"))</f>
        <v>no</v>
      </c>
      <c r="K2" s="16" t="str">
        <f aca="false">IF(J2="","",IF(AND(J2="si",D2&lt;&gt;"",D2&lt;&gt;"familia"),"si","no"))</f>
        <v>no</v>
      </c>
      <c r="L2" s="4" t="s">
        <v>64</v>
      </c>
      <c r="M2" s="4" t="s">
        <v>65</v>
      </c>
      <c r="N2" s="4" t="s">
        <v>66</v>
      </c>
      <c r="O2" s="4"/>
      <c r="P2" s="4" t="s">
        <v>67</v>
      </c>
    </row>
    <row r="3" customFormat="false" ht="35.05" hidden="false" customHeight="false" outlineLevel="0" collapsed="false">
      <c r="A3" s="4" t="s">
        <v>68</v>
      </c>
      <c r="B3" s="14" t="n">
        <v>46307</v>
      </c>
      <c r="C3" s="4" t="s">
        <v>69</v>
      </c>
      <c r="D3" s="4" t="s">
        <v>70</v>
      </c>
      <c r="E3" s="4" t="s">
        <v>71</v>
      </c>
      <c r="F3" s="4" t="s">
        <v>72</v>
      </c>
      <c r="G3" s="14" t="n">
        <v>46315</v>
      </c>
      <c r="H3" s="16" t="n">
        <f aca="false">IF(OR(B3="",G3=""),"",INT(G3)-INT(B3))</f>
        <v>8</v>
      </c>
      <c r="I3" s="17"/>
      <c r="J3" s="16" t="str">
        <f aca="false">IF(C3="","",IF(AND(F3&lt;&gt;"",G3&lt;&gt;"",N(H3)&gt;=3,I3&lt;&gt;""),"si","no"))</f>
        <v>no</v>
      </c>
      <c r="K3" s="16" t="str">
        <f aca="false">IF(J3="","",IF(AND(J3="si",D3&lt;&gt;"",D3&lt;&gt;"familia"),"si","no"))</f>
        <v>no</v>
      </c>
      <c r="L3" s="4" t="s">
        <v>64</v>
      </c>
      <c r="M3" s="4" t="s">
        <v>65</v>
      </c>
      <c r="N3" s="4"/>
      <c r="O3" s="4"/>
      <c r="P3" s="4" t="s">
        <v>73</v>
      </c>
    </row>
    <row r="4" customFormat="false" ht="15" hidden="false" customHeight="false" outlineLevel="0" collapsed="false">
      <c r="A4" s="4"/>
      <c r="B4" s="14"/>
      <c r="C4" s="4"/>
      <c r="D4" s="4"/>
      <c r="E4" s="4"/>
      <c r="F4" s="4"/>
      <c r="G4" s="14"/>
      <c r="H4" s="16" t="str">
        <f aca="false">IF(OR(B4="",G4=""),"",INT(G4)-INT(B4))</f>
        <v/>
      </c>
      <c r="I4" s="4"/>
      <c r="J4" s="16" t="str">
        <f aca="false">IF(C4="","",IF(AND(F4&lt;&gt;"",G4&lt;&gt;"",N(H4)&gt;=3,I4&lt;&gt;""),"si","no"))</f>
        <v/>
      </c>
      <c r="K4" s="16" t="str">
        <f aca="false">IF(J4="","",IF(AND(J4="si",D4&lt;&gt;"",D4&lt;&gt;"familia"),"si","no"))</f>
        <v/>
      </c>
      <c r="L4" s="4"/>
      <c r="M4" s="4"/>
      <c r="N4" s="4"/>
      <c r="O4" s="4"/>
      <c r="P4" s="4"/>
    </row>
    <row r="5" customFormat="false" ht="15" hidden="false" customHeight="false" outlineLevel="0" collapsed="false">
      <c r="A5" s="4"/>
      <c r="B5" s="14"/>
      <c r="C5" s="4"/>
      <c r="D5" s="4"/>
      <c r="E5" s="4"/>
      <c r="F5" s="4"/>
      <c r="G5" s="14"/>
      <c r="H5" s="16" t="str">
        <f aca="false">IF(OR(B5="",G5=""),"",INT(G5)-INT(B5))</f>
        <v/>
      </c>
      <c r="I5" s="4"/>
      <c r="J5" s="16" t="str">
        <f aca="false">IF(C5="","",IF(AND(F5&lt;&gt;"",G5&lt;&gt;"",N(H5)&gt;=3,I5&lt;&gt;""),"si","no"))</f>
        <v/>
      </c>
      <c r="K5" s="16" t="str">
        <f aca="false">IF(J5="","",IF(AND(J5="si",D5&lt;&gt;"",D5&lt;&gt;"familia"),"si","no"))</f>
        <v/>
      </c>
      <c r="L5" s="4"/>
      <c r="M5" s="4"/>
      <c r="N5" s="4"/>
      <c r="O5" s="4"/>
      <c r="P5" s="4"/>
    </row>
    <row r="6" customFormat="false" ht="15" hidden="false" customHeight="false" outlineLevel="0" collapsed="false">
      <c r="A6" s="4"/>
      <c r="B6" s="14"/>
      <c r="C6" s="4"/>
      <c r="D6" s="4"/>
      <c r="E6" s="4"/>
      <c r="F6" s="4"/>
      <c r="G6" s="14"/>
      <c r="H6" s="16" t="str">
        <f aca="false">IF(OR(B6="",G6=""),"",INT(G6)-INT(B6))</f>
        <v/>
      </c>
      <c r="I6" s="4"/>
      <c r="J6" s="16" t="str">
        <f aca="false">IF(C6="","",IF(AND(F6&lt;&gt;"",G6&lt;&gt;"",N(H6)&gt;=3,I6&lt;&gt;""),"si","no"))</f>
        <v/>
      </c>
      <c r="K6" s="16" t="str">
        <f aca="false">IF(J6="","",IF(AND(J6="si",D6&lt;&gt;"",D6&lt;&gt;"familia"),"si","no"))</f>
        <v/>
      </c>
      <c r="L6" s="4"/>
      <c r="M6" s="4"/>
      <c r="N6" s="4"/>
      <c r="O6" s="4"/>
      <c r="P6" s="4"/>
    </row>
    <row r="7" customFormat="false" ht="15" hidden="false" customHeight="false" outlineLevel="0" collapsed="false">
      <c r="A7" s="4"/>
      <c r="B7" s="14"/>
      <c r="C7" s="4"/>
      <c r="D7" s="4"/>
      <c r="E7" s="4"/>
      <c r="F7" s="4"/>
      <c r="G7" s="14"/>
      <c r="H7" s="16" t="str">
        <f aca="false">IF(OR(B7="",G7=""),"",INT(G7)-INT(B7))</f>
        <v/>
      </c>
      <c r="I7" s="4"/>
      <c r="J7" s="16" t="str">
        <f aca="false">IF(C7="","",IF(AND(F7&lt;&gt;"",G7&lt;&gt;"",N(H7)&gt;=3,I7&lt;&gt;""),"si","no"))</f>
        <v/>
      </c>
      <c r="K7" s="16" t="str">
        <f aca="false">IF(J7="","",IF(AND(J7="si",D7&lt;&gt;"",D7&lt;&gt;"familia"),"si","no"))</f>
        <v/>
      </c>
      <c r="L7" s="4"/>
      <c r="M7" s="4"/>
      <c r="N7" s="4"/>
      <c r="O7" s="4"/>
      <c r="P7" s="4"/>
    </row>
    <row r="8" customFormat="false" ht="15" hidden="false" customHeight="false" outlineLevel="0" collapsed="false">
      <c r="A8" s="4"/>
      <c r="B8" s="14"/>
      <c r="C8" s="4"/>
      <c r="D8" s="4"/>
      <c r="E8" s="4"/>
      <c r="F8" s="4"/>
      <c r="G8" s="14"/>
      <c r="H8" s="16" t="str">
        <f aca="false">IF(OR(B8="",G8=""),"",INT(G8)-INT(B8))</f>
        <v/>
      </c>
      <c r="I8" s="4"/>
      <c r="J8" s="16" t="str">
        <f aca="false">IF(C8="","",IF(AND(F8&lt;&gt;"",G8&lt;&gt;"",N(H8)&gt;=3,I8&lt;&gt;""),"si","no"))</f>
        <v/>
      </c>
      <c r="K8" s="16" t="str">
        <f aca="false">IF(J8="","",IF(AND(J8="si",D8&lt;&gt;"",D8&lt;&gt;"familia"),"si","no"))</f>
        <v/>
      </c>
      <c r="L8" s="4"/>
      <c r="M8" s="4"/>
      <c r="N8" s="4"/>
      <c r="O8" s="4"/>
      <c r="P8" s="4"/>
    </row>
    <row r="9" customFormat="false" ht="15" hidden="false" customHeight="false" outlineLevel="0" collapsed="false">
      <c r="A9" s="4"/>
      <c r="B9" s="14"/>
      <c r="C9" s="4"/>
      <c r="D9" s="4"/>
      <c r="E9" s="4"/>
      <c r="F9" s="4"/>
      <c r="G9" s="14"/>
      <c r="H9" s="16" t="str">
        <f aca="false">IF(OR(B9="",G9=""),"",INT(G9)-INT(B9))</f>
        <v/>
      </c>
      <c r="I9" s="4"/>
      <c r="J9" s="16" t="str">
        <f aca="false">IF(C9="","",IF(AND(F9&lt;&gt;"",G9&lt;&gt;"",N(H9)&gt;=3,I9&lt;&gt;""),"si","no"))</f>
        <v/>
      </c>
      <c r="K9" s="16" t="str">
        <f aca="false">IF(J9="","",IF(AND(J9="si",D9&lt;&gt;"",D9&lt;&gt;"familia"),"si","no"))</f>
        <v/>
      </c>
      <c r="L9" s="4"/>
      <c r="M9" s="4"/>
      <c r="N9" s="4"/>
      <c r="O9" s="4"/>
      <c r="P9" s="4"/>
    </row>
    <row r="10" customFormat="false" ht="15" hidden="false" customHeight="false" outlineLevel="0" collapsed="false">
      <c r="A10" s="4"/>
      <c r="B10" s="14"/>
      <c r="C10" s="4"/>
      <c r="D10" s="4"/>
      <c r="E10" s="4"/>
      <c r="F10" s="4"/>
      <c r="G10" s="14"/>
      <c r="H10" s="16" t="str">
        <f aca="false">IF(OR(B10="",G10=""),"",INT(G10)-INT(B10))</f>
        <v/>
      </c>
      <c r="I10" s="4"/>
      <c r="J10" s="16" t="str">
        <f aca="false">IF(C10="","",IF(AND(F10&lt;&gt;"",G10&lt;&gt;"",N(H10)&gt;=3,I10&lt;&gt;""),"si","no"))</f>
        <v/>
      </c>
      <c r="K10" s="16" t="str">
        <f aca="false">IF(J10="","",IF(AND(J10="si",D10&lt;&gt;"",D10&lt;&gt;"familia"),"si","no"))</f>
        <v/>
      </c>
      <c r="L10" s="4"/>
      <c r="M10" s="4"/>
      <c r="N10" s="4"/>
      <c r="O10" s="4"/>
      <c r="P10" s="4"/>
    </row>
    <row r="11" customFormat="false" ht="15" hidden="false" customHeight="false" outlineLevel="0" collapsed="false">
      <c r="A11" s="4"/>
      <c r="B11" s="14"/>
      <c r="C11" s="4"/>
      <c r="D11" s="4"/>
      <c r="E11" s="4"/>
      <c r="F11" s="4"/>
      <c r="G11" s="14"/>
      <c r="H11" s="16" t="str">
        <f aca="false">IF(OR(B11="",G11=""),"",INT(G11)-INT(B11))</f>
        <v/>
      </c>
      <c r="I11" s="4"/>
      <c r="J11" s="16" t="str">
        <f aca="false">IF(C11="","",IF(AND(F11&lt;&gt;"",G11&lt;&gt;"",N(H11)&gt;=3,I11&lt;&gt;""),"si","no"))</f>
        <v/>
      </c>
      <c r="K11" s="16" t="str">
        <f aca="false">IF(J11="","",IF(AND(J11="si",D11&lt;&gt;"",D11&lt;&gt;"familia"),"si","no"))</f>
        <v/>
      </c>
      <c r="L11" s="4"/>
      <c r="M11" s="4"/>
      <c r="N11" s="4"/>
      <c r="O11" s="4"/>
      <c r="P11" s="4"/>
    </row>
    <row r="12" customFormat="false" ht="15" hidden="false" customHeight="false" outlineLevel="0" collapsed="false">
      <c r="A12" s="4"/>
      <c r="B12" s="14"/>
      <c r="C12" s="4"/>
      <c r="D12" s="4"/>
      <c r="E12" s="4"/>
      <c r="F12" s="4"/>
      <c r="G12" s="14"/>
      <c r="H12" s="16" t="str">
        <f aca="false">IF(OR(B12="",G12=""),"",INT(G12)-INT(B12))</f>
        <v/>
      </c>
      <c r="I12" s="4"/>
      <c r="J12" s="16" t="str">
        <f aca="false">IF(C12="","",IF(AND(F12&lt;&gt;"",G12&lt;&gt;"",N(H12)&gt;=3,I12&lt;&gt;""),"si","no"))</f>
        <v/>
      </c>
      <c r="K12" s="16" t="str">
        <f aca="false">IF(J12="","",IF(AND(J12="si",D12&lt;&gt;"",D12&lt;&gt;"familia"),"si","no"))</f>
        <v/>
      </c>
      <c r="L12" s="4"/>
      <c r="M12" s="4"/>
      <c r="N12" s="4"/>
      <c r="O12" s="4"/>
      <c r="P12" s="4"/>
    </row>
    <row r="13" customFormat="false" ht="15" hidden="false" customHeight="false" outlineLevel="0" collapsed="false">
      <c r="A13" s="4"/>
      <c r="B13" s="14"/>
      <c r="C13" s="4"/>
      <c r="D13" s="4"/>
      <c r="E13" s="4"/>
      <c r="F13" s="4"/>
      <c r="G13" s="14"/>
      <c r="H13" s="16" t="str">
        <f aca="false">IF(OR(B13="",G13=""),"",INT(G13)-INT(B13))</f>
        <v/>
      </c>
      <c r="I13" s="4"/>
      <c r="J13" s="16" t="str">
        <f aca="false">IF(C13="","",IF(AND(F13&lt;&gt;"",G13&lt;&gt;"",N(H13)&gt;=3,I13&lt;&gt;""),"si","no"))</f>
        <v/>
      </c>
      <c r="K13" s="16" t="str">
        <f aca="false">IF(J13="","",IF(AND(J13="si",D13&lt;&gt;"",D13&lt;&gt;"familia"),"si","no"))</f>
        <v/>
      </c>
      <c r="L13" s="4"/>
      <c r="M13" s="4"/>
      <c r="N13" s="4"/>
      <c r="O13" s="4"/>
      <c r="P13" s="4"/>
    </row>
    <row r="14" customFormat="false" ht="15" hidden="false" customHeight="false" outlineLevel="0" collapsed="false">
      <c r="A14" s="4"/>
      <c r="B14" s="14"/>
      <c r="C14" s="4"/>
      <c r="D14" s="4"/>
      <c r="E14" s="4"/>
      <c r="F14" s="4"/>
      <c r="G14" s="14"/>
      <c r="H14" s="16" t="str">
        <f aca="false">IF(OR(B14="",G14=""),"",INT(G14)-INT(B14))</f>
        <v/>
      </c>
      <c r="I14" s="4"/>
      <c r="J14" s="16" t="str">
        <f aca="false">IF(C14="","",IF(AND(F14&lt;&gt;"",G14&lt;&gt;"",N(H14)&gt;=3,I14&lt;&gt;""),"si","no"))</f>
        <v/>
      </c>
      <c r="K14" s="16" t="str">
        <f aca="false">IF(J14="","",IF(AND(J14="si",D14&lt;&gt;"",D14&lt;&gt;"familia"),"si","no"))</f>
        <v/>
      </c>
      <c r="L14" s="4"/>
      <c r="M14" s="4"/>
      <c r="N14" s="4"/>
      <c r="O14" s="4"/>
      <c r="P14" s="4"/>
    </row>
    <row r="15" customFormat="false" ht="15" hidden="false" customHeight="false" outlineLevel="0" collapsed="false">
      <c r="A15" s="4"/>
      <c r="B15" s="14"/>
      <c r="C15" s="4"/>
      <c r="D15" s="4"/>
      <c r="E15" s="4"/>
      <c r="F15" s="4"/>
      <c r="G15" s="14"/>
      <c r="H15" s="16" t="str">
        <f aca="false">IF(OR(B15="",G15=""),"",INT(G15)-INT(B15))</f>
        <v/>
      </c>
      <c r="I15" s="4"/>
      <c r="J15" s="16" t="str">
        <f aca="false">IF(C15="","",IF(AND(F15&lt;&gt;"",G15&lt;&gt;"",N(H15)&gt;=3,I15&lt;&gt;""),"si","no"))</f>
        <v/>
      </c>
      <c r="K15" s="16" t="str">
        <f aca="false">IF(J15="","",IF(AND(J15="si",D15&lt;&gt;"",D15&lt;&gt;"familia"),"si","no"))</f>
        <v/>
      </c>
      <c r="L15" s="4"/>
      <c r="M15" s="4"/>
      <c r="N15" s="4"/>
      <c r="O15" s="4"/>
      <c r="P15" s="4"/>
    </row>
    <row r="16" customFormat="false" ht="15" hidden="false" customHeight="false" outlineLevel="0" collapsed="false">
      <c r="A16" s="4"/>
      <c r="B16" s="14"/>
      <c r="C16" s="4"/>
      <c r="D16" s="4"/>
      <c r="E16" s="4"/>
      <c r="F16" s="4"/>
      <c r="G16" s="14"/>
      <c r="H16" s="16" t="str">
        <f aca="false">IF(OR(B16="",G16=""),"",INT(G16)-INT(B16))</f>
        <v/>
      </c>
      <c r="I16" s="4"/>
      <c r="J16" s="16" t="str">
        <f aca="false">IF(C16="","",IF(AND(F16&lt;&gt;"",G16&lt;&gt;"",N(H16)&gt;=3,I16&lt;&gt;""),"si","no"))</f>
        <v/>
      </c>
      <c r="K16" s="16" t="str">
        <f aca="false">IF(J16="","",IF(AND(J16="si",D16&lt;&gt;"",D16&lt;&gt;"familia"),"si","no"))</f>
        <v/>
      </c>
      <c r="L16" s="4"/>
      <c r="M16" s="4"/>
      <c r="N16" s="4"/>
      <c r="O16" s="4"/>
      <c r="P16" s="4"/>
    </row>
    <row r="17" customFormat="false" ht="15" hidden="false" customHeight="false" outlineLevel="0" collapsed="false">
      <c r="A17" s="4"/>
      <c r="B17" s="14"/>
      <c r="C17" s="4"/>
      <c r="D17" s="4"/>
      <c r="E17" s="4"/>
      <c r="F17" s="4"/>
      <c r="G17" s="14"/>
      <c r="H17" s="16" t="str">
        <f aca="false">IF(OR(B17="",G17=""),"",INT(G17)-INT(B17))</f>
        <v/>
      </c>
      <c r="I17" s="4"/>
      <c r="J17" s="16" t="str">
        <f aca="false">IF(C17="","",IF(AND(F17&lt;&gt;"",G17&lt;&gt;"",N(H17)&gt;=3,I17&lt;&gt;""),"si","no"))</f>
        <v/>
      </c>
      <c r="K17" s="16" t="str">
        <f aca="false">IF(J17="","",IF(AND(J17="si",D17&lt;&gt;"",D17&lt;&gt;"familia"),"si","no"))</f>
        <v/>
      </c>
      <c r="L17" s="4"/>
      <c r="M17" s="4"/>
      <c r="N17" s="4"/>
      <c r="O17" s="4"/>
      <c r="P17" s="4"/>
    </row>
    <row r="18" customFormat="false" ht="15" hidden="false" customHeight="false" outlineLevel="0" collapsed="false">
      <c r="A18" s="4"/>
      <c r="B18" s="14"/>
      <c r="C18" s="4"/>
      <c r="D18" s="4"/>
      <c r="E18" s="4"/>
      <c r="F18" s="4"/>
      <c r="G18" s="14"/>
      <c r="H18" s="16" t="str">
        <f aca="false">IF(OR(B18="",G18=""),"",INT(G18)-INT(B18))</f>
        <v/>
      </c>
      <c r="I18" s="4"/>
      <c r="J18" s="16" t="str">
        <f aca="false">IF(C18="","",IF(AND(F18&lt;&gt;"",G18&lt;&gt;"",N(H18)&gt;=3,I18&lt;&gt;""),"si","no"))</f>
        <v/>
      </c>
      <c r="K18" s="16" t="str">
        <f aca="false">IF(J18="","",IF(AND(J18="si",D18&lt;&gt;"",D18&lt;&gt;"familia"),"si","no"))</f>
        <v/>
      </c>
      <c r="L18" s="4"/>
      <c r="M18" s="4"/>
      <c r="N18" s="4"/>
      <c r="O18" s="4"/>
      <c r="P18" s="4"/>
    </row>
    <row r="19" customFormat="false" ht="15" hidden="false" customHeight="false" outlineLevel="0" collapsed="false">
      <c r="A19" s="4"/>
      <c r="B19" s="14"/>
      <c r="C19" s="4"/>
      <c r="D19" s="4"/>
      <c r="E19" s="4"/>
      <c r="F19" s="4"/>
      <c r="G19" s="14"/>
      <c r="H19" s="16" t="str">
        <f aca="false">IF(OR(B19="",G19=""),"",INT(G19)-INT(B19))</f>
        <v/>
      </c>
      <c r="I19" s="4"/>
      <c r="J19" s="16" t="str">
        <f aca="false">IF(C19="","",IF(AND(F19&lt;&gt;"",G19&lt;&gt;"",N(H19)&gt;=3,I19&lt;&gt;""),"si","no"))</f>
        <v/>
      </c>
      <c r="K19" s="16" t="str">
        <f aca="false">IF(J19="","",IF(AND(J19="si",D19&lt;&gt;"",D19&lt;&gt;"familia"),"si","no"))</f>
        <v/>
      </c>
      <c r="L19" s="4"/>
      <c r="M19" s="4"/>
      <c r="N19" s="4"/>
      <c r="O19" s="4"/>
      <c r="P19" s="4"/>
    </row>
    <row r="20" customFormat="false" ht="15" hidden="false" customHeight="false" outlineLevel="0" collapsed="false">
      <c r="A20" s="4"/>
      <c r="B20" s="14"/>
      <c r="C20" s="4"/>
      <c r="D20" s="4"/>
      <c r="E20" s="4"/>
      <c r="F20" s="4"/>
      <c r="G20" s="14"/>
      <c r="H20" s="16" t="str">
        <f aca="false">IF(OR(B20="",G20=""),"",INT(G20)-INT(B20))</f>
        <v/>
      </c>
      <c r="I20" s="4"/>
      <c r="J20" s="16" t="str">
        <f aca="false">IF(C20="","",IF(AND(F20&lt;&gt;"",G20&lt;&gt;"",N(H20)&gt;=3,I20&lt;&gt;""),"si","no"))</f>
        <v/>
      </c>
      <c r="K20" s="16" t="str">
        <f aca="false">IF(J20="","",IF(AND(J20="si",D20&lt;&gt;"",D20&lt;&gt;"familia"),"si","no"))</f>
        <v/>
      </c>
      <c r="L20" s="4"/>
      <c r="M20" s="4"/>
      <c r="N20" s="4"/>
      <c r="O20" s="4"/>
      <c r="P20" s="4"/>
    </row>
    <row r="21" customFormat="false" ht="15" hidden="false" customHeight="false" outlineLevel="0" collapsed="false">
      <c r="A21" s="4"/>
      <c r="B21" s="14"/>
      <c r="C21" s="4"/>
      <c r="D21" s="4"/>
      <c r="E21" s="4"/>
      <c r="F21" s="4"/>
      <c r="G21" s="14"/>
      <c r="H21" s="16" t="str">
        <f aca="false">IF(OR(B21="",G21=""),"",INT(G21)-INT(B21))</f>
        <v/>
      </c>
      <c r="I21" s="4"/>
      <c r="J21" s="16" t="str">
        <f aca="false">IF(C21="","",IF(AND(F21&lt;&gt;"",G21&lt;&gt;"",N(H21)&gt;=3,I21&lt;&gt;""),"si","no"))</f>
        <v/>
      </c>
      <c r="K21" s="16" t="str">
        <f aca="false">IF(J21="","",IF(AND(J21="si",D21&lt;&gt;"",D21&lt;&gt;"familia"),"si","no"))</f>
        <v/>
      </c>
      <c r="L21" s="4"/>
      <c r="M21" s="4"/>
      <c r="N21" s="4"/>
      <c r="O21" s="4"/>
      <c r="P21" s="4"/>
    </row>
    <row r="22" customFormat="false" ht="15" hidden="false" customHeight="false" outlineLevel="0" collapsed="false">
      <c r="A22" s="4"/>
      <c r="B22" s="14"/>
      <c r="C22" s="4"/>
      <c r="D22" s="4"/>
      <c r="E22" s="4"/>
      <c r="F22" s="4"/>
      <c r="G22" s="14"/>
      <c r="H22" s="16" t="str">
        <f aca="false">IF(OR(B22="",G22=""),"",INT(G22)-INT(B22))</f>
        <v/>
      </c>
      <c r="I22" s="4"/>
      <c r="J22" s="16" t="str">
        <f aca="false">IF(C22="","",IF(AND(F22&lt;&gt;"",G22&lt;&gt;"",N(H22)&gt;=3,I22&lt;&gt;""),"si","no"))</f>
        <v/>
      </c>
      <c r="K22" s="16" t="str">
        <f aca="false">IF(J22="","",IF(AND(J22="si",D22&lt;&gt;"",D22&lt;&gt;"familia"),"si","no"))</f>
        <v/>
      </c>
      <c r="L22" s="4"/>
      <c r="M22" s="4"/>
      <c r="N22" s="4"/>
      <c r="O22" s="4"/>
      <c r="P22" s="4"/>
    </row>
    <row r="23" customFormat="false" ht="15" hidden="false" customHeight="false" outlineLevel="0" collapsed="false">
      <c r="A23" s="4"/>
      <c r="B23" s="14"/>
      <c r="C23" s="4"/>
      <c r="D23" s="4"/>
      <c r="E23" s="4"/>
      <c r="F23" s="4"/>
      <c r="G23" s="14"/>
      <c r="H23" s="16" t="str">
        <f aca="false">IF(OR(B23="",G23=""),"",INT(G23)-INT(B23))</f>
        <v/>
      </c>
      <c r="I23" s="4"/>
      <c r="J23" s="16" t="str">
        <f aca="false">IF(C23="","",IF(AND(F23&lt;&gt;"",G23&lt;&gt;"",N(H23)&gt;=3,I23&lt;&gt;""),"si","no"))</f>
        <v/>
      </c>
      <c r="K23" s="16" t="str">
        <f aca="false">IF(J23="","",IF(AND(J23="si",D23&lt;&gt;"",D23&lt;&gt;"familia"),"si","no"))</f>
        <v/>
      </c>
      <c r="L23" s="4"/>
      <c r="M23" s="4"/>
      <c r="N23" s="4"/>
      <c r="O23" s="4"/>
      <c r="P23" s="4"/>
    </row>
    <row r="24" customFormat="false" ht="15" hidden="false" customHeight="false" outlineLevel="0" collapsed="false">
      <c r="A24" s="4"/>
      <c r="B24" s="14"/>
      <c r="C24" s="4"/>
      <c r="D24" s="4"/>
      <c r="E24" s="4"/>
      <c r="F24" s="4"/>
      <c r="G24" s="14"/>
      <c r="H24" s="16" t="str">
        <f aca="false">IF(OR(B24="",G24=""),"",INT(G24)-INT(B24))</f>
        <v/>
      </c>
      <c r="I24" s="4"/>
      <c r="J24" s="16" t="str">
        <f aca="false">IF(C24="","",IF(AND(F24&lt;&gt;"",G24&lt;&gt;"",N(H24)&gt;=3,I24&lt;&gt;""),"si","no"))</f>
        <v/>
      </c>
      <c r="K24" s="16" t="str">
        <f aca="false">IF(J24="","",IF(AND(J24="si",D24&lt;&gt;"",D24&lt;&gt;"familia"),"si","no"))</f>
        <v/>
      </c>
      <c r="L24" s="4"/>
      <c r="M24" s="4"/>
      <c r="N24" s="4"/>
      <c r="O24" s="4"/>
      <c r="P24" s="4"/>
    </row>
    <row r="25" customFormat="false" ht="15" hidden="false" customHeight="false" outlineLevel="0" collapsed="false">
      <c r="A25" s="4"/>
      <c r="B25" s="14"/>
      <c r="C25" s="4"/>
      <c r="D25" s="4"/>
      <c r="E25" s="4"/>
      <c r="F25" s="4"/>
      <c r="G25" s="14"/>
      <c r="H25" s="16" t="str">
        <f aca="false">IF(OR(B25="",G25=""),"",INT(G25)-INT(B25))</f>
        <v/>
      </c>
      <c r="I25" s="4"/>
      <c r="J25" s="16" t="str">
        <f aca="false">IF(C25="","",IF(AND(F25&lt;&gt;"",G25&lt;&gt;"",N(H25)&gt;=3,I25&lt;&gt;""),"si","no"))</f>
        <v/>
      </c>
      <c r="K25" s="16" t="str">
        <f aca="false">IF(J25="","",IF(AND(J25="si",D25&lt;&gt;"",D25&lt;&gt;"familia"),"si","no"))</f>
        <v/>
      </c>
      <c r="L25" s="4"/>
      <c r="M25" s="4"/>
      <c r="N25" s="4"/>
      <c r="O25" s="4"/>
      <c r="P25" s="4"/>
    </row>
    <row r="26" customFormat="false" ht="15" hidden="false" customHeight="false" outlineLevel="0" collapsed="false">
      <c r="A26" s="4"/>
      <c r="B26" s="14"/>
      <c r="C26" s="4"/>
      <c r="D26" s="4"/>
      <c r="E26" s="4"/>
      <c r="F26" s="4"/>
      <c r="G26" s="14"/>
      <c r="H26" s="16" t="str">
        <f aca="false">IF(OR(B26="",G26=""),"",INT(G26)-INT(B26))</f>
        <v/>
      </c>
      <c r="I26" s="4"/>
      <c r="J26" s="16" t="str">
        <f aca="false">IF(C26="","",IF(AND(F26&lt;&gt;"",G26&lt;&gt;"",N(H26)&gt;=3,I26&lt;&gt;""),"si","no"))</f>
        <v/>
      </c>
      <c r="K26" s="16" t="str">
        <f aca="false">IF(J26="","",IF(AND(J26="si",D26&lt;&gt;"",D26&lt;&gt;"familia"),"si","no"))</f>
        <v/>
      </c>
      <c r="L26" s="4"/>
      <c r="M26" s="4"/>
      <c r="N26" s="4"/>
      <c r="O26" s="4"/>
      <c r="P26" s="4"/>
    </row>
    <row r="27" customFormat="false" ht="15" hidden="false" customHeight="false" outlineLevel="0" collapsed="false">
      <c r="A27" s="4"/>
      <c r="B27" s="14"/>
      <c r="C27" s="4"/>
      <c r="D27" s="4"/>
      <c r="E27" s="4"/>
      <c r="F27" s="4"/>
      <c r="G27" s="14"/>
      <c r="H27" s="16" t="str">
        <f aca="false">IF(OR(B27="",G27=""),"",INT(G27)-INT(B27))</f>
        <v/>
      </c>
      <c r="I27" s="4"/>
      <c r="J27" s="16" t="str">
        <f aca="false">IF(C27="","",IF(AND(F27&lt;&gt;"",G27&lt;&gt;"",N(H27)&gt;=3,I27&lt;&gt;""),"si","no"))</f>
        <v/>
      </c>
      <c r="K27" s="16" t="str">
        <f aca="false">IF(J27="","",IF(AND(J27="si",D27&lt;&gt;"",D27&lt;&gt;"familia"),"si","no"))</f>
        <v/>
      </c>
      <c r="L27" s="4"/>
      <c r="M27" s="4"/>
      <c r="N27" s="4"/>
      <c r="O27" s="4"/>
      <c r="P27" s="4"/>
    </row>
    <row r="28" customFormat="false" ht="15" hidden="false" customHeight="false" outlineLevel="0" collapsed="false">
      <c r="A28" s="4"/>
      <c r="B28" s="14"/>
      <c r="C28" s="4"/>
      <c r="D28" s="4"/>
      <c r="E28" s="4"/>
      <c r="F28" s="4"/>
      <c r="G28" s="14"/>
      <c r="H28" s="16" t="str">
        <f aca="false">IF(OR(B28="",G28=""),"",INT(G28)-INT(B28))</f>
        <v/>
      </c>
      <c r="I28" s="4"/>
      <c r="J28" s="16" t="str">
        <f aca="false">IF(C28="","",IF(AND(F28&lt;&gt;"",G28&lt;&gt;"",N(H28)&gt;=3,I28&lt;&gt;""),"si","no"))</f>
        <v/>
      </c>
      <c r="K28" s="16" t="str">
        <f aca="false">IF(J28="","",IF(AND(J28="si",D28&lt;&gt;"",D28&lt;&gt;"familia"),"si","no"))</f>
        <v/>
      </c>
      <c r="L28" s="4"/>
      <c r="M28" s="4"/>
      <c r="N28" s="4"/>
      <c r="O28" s="4"/>
      <c r="P28" s="4"/>
    </row>
    <row r="29" customFormat="false" ht="15" hidden="false" customHeight="false" outlineLevel="0" collapsed="false">
      <c r="A29" s="4"/>
      <c r="B29" s="14"/>
      <c r="C29" s="4"/>
      <c r="D29" s="4"/>
      <c r="E29" s="4"/>
      <c r="F29" s="4"/>
      <c r="G29" s="14"/>
      <c r="H29" s="16" t="str">
        <f aca="false">IF(OR(B29="",G29=""),"",INT(G29)-INT(B29))</f>
        <v/>
      </c>
      <c r="I29" s="4"/>
      <c r="J29" s="16" t="str">
        <f aca="false">IF(C29="","",IF(AND(F29&lt;&gt;"",G29&lt;&gt;"",N(H29)&gt;=3,I29&lt;&gt;""),"si","no"))</f>
        <v/>
      </c>
      <c r="K29" s="16" t="str">
        <f aca="false">IF(J29="","",IF(AND(J29="si",D29&lt;&gt;"",D29&lt;&gt;"familia"),"si","no"))</f>
        <v/>
      </c>
      <c r="L29" s="4"/>
      <c r="M29" s="4"/>
      <c r="N29" s="4"/>
      <c r="O29" s="4"/>
      <c r="P29" s="4"/>
    </row>
    <row r="30" customFormat="false" ht="15" hidden="false" customHeight="false" outlineLevel="0" collapsed="false">
      <c r="A30" s="4"/>
      <c r="B30" s="14"/>
      <c r="C30" s="4"/>
      <c r="D30" s="4"/>
      <c r="E30" s="4"/>
      <c r="F30" s="4"/>
      <c r="G30" s="14"/>
      <c r="H30" s="16" t="str">
        <f aca="false">IF(OR(B30="",G30=""),"",INT(G30)-INT(B30))</f>
        <v/>
      </c>
      <c r="I30" s="4"/>
      <c r="J30" s="16" t="str">
        <f aca="false">IF(C30="","",IF(AND(F30&lt;&gt;"",G30&lt;&gt;"",N(H30)&gt;=3,I30&lt;&gt;""),"si","no"))</f>
        <v/>
      </c>
      <c r="K30" s="16" t="str">
        <f aca="false">IF(J30="","",IF(AND(J30="si",D30&lt;&gt;"",D30&lt;&gt;"familia"),"si","no"))</f>
        <v/>
      </c>
      <c r="L30" s="4"/>
      <c r="M30" s="4"/>
      <c r="N30" s="4"/>
      <c r="O30" s="4"/>
      <c r="P30" s="4"/>
    </row>
    <row r="31" customFormat="false" ht="15" hidden="false" customHeight="false" outlineLevel="0" collapsed="false">
      <c r="A31" s="4"/>
      <c r="B31" s="14"/>
      <c r="C31" s="4"/>
      <c r="D31" s="4"/>
      <c r="E31" s="4"/>
      <c r="F31" s="4"/>
      <c r="G31" s="14"/>
      <c r="H31" s="16" t="str">
        <f aca="false">IF(OR(B31="",G31=""),"",INT(G31)-INT(B31))</f>
        <v/>
      </c>
      <c r="I31" s="4"/>
      <c r="J31" s="16" t="str">
        <f aca="false">IF(C31="","",IF(AND(F31&lt;&gt;"",G31&lt;&gt;"",N(H31)&gt;=3,I31&lt;&gt;""),"si","no"))</f>
        <v/>
      </c>
      <c r="K31" s="16" t="str">
        <f aca="false">IF(J31="","",IF(AND(J31="si",D31&lt;&gt;"",D31&lt;&gt;"familia"),"si","no"))</f>
        <v/>
      </c>
      <c r="L31" s="4"/>
      <c r="M31" s="4"/>
      <c r="N31" s="4"/>
      <c r="O31" s="4"/>
      <c r="P31" s="4"/>
    </row>
    <row r="32" customFormat="false" ht="15" hidden="false" customHeight="false" outlineLevel="0" collapsed="false">
      <c r="A32" s="4"/>
      <c r="B32" s="14"/>
      <c r="C32" s="4"/>
      <c r="D32" s="4"/>
      <c r="E32" s="4"/>
      <c r="F32" s="4"/>
      <c r="G32" s="14"/>
      <c r="H32" s="16" t="str">
        <f aca="false">IF(OR(B32="",G32=""),"",INT(G32)-INT(B32))</f>
        <v/>
      </c>
      <c r="I32" s="4"/>
      <c r="J32" s="16" t="str">
        <f aca="false">IF(C32="","",IF(AND(F32&lt;&gt;"",G32&lt;&gt;"",N(H32)&gt;=3,I32&lt;&gt;""),"si","no"))</f>
        <v/>
      </c>
      <c r="K32" s="16" t="str">
        <f aca="false">IF(J32="","",IF(AND(J32="si",D32&lt;&gt;"",D32&lt;&gt;"familia"),"si","no"))</f>
        <v/>
      </c>
      <c r="L32" s="4"/>
      <c r="M32" s="4"/>
      <c r="N32" s="4"/>
      <c r="O32" s="4"/>
      <c r="P32" s="4"/>
    </row>
    <row r="33" customFormat="false" ht="15" hidden="false" customHeight="false" outlineLevel="0" collapsed="false">
      <c r="A33" s="4"/>
      <c r="B33" s="14"/>
      <c r="C33" s="4"/>
      <c r="D33" s="4"/>
      <c r="E33" s="4"/>
      <c r="F33" s="4"/>
      <c r="G33" s="14"/>
      <c r="H33" s="16" t="str">
        <f aca="false">IF(OR(B33="",G33=""),"",INT(G33)-INT(B33))</f>
        <v/>
      </c>
      <c r="I33" s="4"/>
      <c r="J33" s="16" t="str">
        <f aca="false">IF(C33="","",IF(AND(F33&lt;&gt;"",G33&lt;&gt;"",N(H33)&gt;=3,I33&lt;&gt;""),"si","no"))</f>
        <v/>
      </c>
      <c r="K33" s="16" t="str">
        <f aca="false">IF(J33="","",IF(AND(J33="si",D33&lt;&gt;"",D33&lt;&gt;"familia"),"si","no"))</f>
        <v/>
      </c>
      <c r="L33" s="4"/>
      <c r="M33" s="4"/>
      <c r="N33" s="4"/>
      <c r="O33" s="4"/>
      <c r="P33" s="4"/>
    </row>
    <row r="34" customFormat="false" ht="15" hidden="false" customHeight="false" outlineLevel="0" collapsed="false">
      <c r="A34" s="4"/>
      <c r="B34" s="14"/>
      <c r="C34" s="4"/>
      <c r="D34" s="4"/>
      <c r="E34" s="4"/>
      <c r="F34" s="4"/>
      <c r="G34" s="14"/>
      <c r="H34" s="16" t="str">
        <f aca="false">IF(OR(B34="",G34=""),"",INT(G34)-INT(B34))</f>
        <v/>
      </c>
      <c r="I34" s="4"/>
      <c r="J34" s="16" t="str">
        <f aca="false">IF(C34="","",IF(AND(F34&lt;&gt;"",G34&lt;&gt;"",N(H34)&gt;=3,I34&lt;&gt;""),"si","no"))</f>
        <v/>
      </c>
      <c r="K34" s="16" t="str">
        <f aca="false">IF(J34="","",IF(AND(J34="si",D34&lt;&gt;"",D34&lt;&gt;"familia"),"si","no"))</f>
        <v/>
      </c>
      <c r="L34" s="4"/>
      <c r="M34" s="4"/>
      <c r="N34" s="4"/>
      <c r="O34" s="4"/>
      <c r="P34" s="4"/>
    </row>
    <row r="35" customFormat="false" ht="15" hidden="false" customHeight="false" outlineLevel="0" collapsed="false">
      <c r="A35" s="4"/>
      <c r="B35" s="14"/>
      <c r="C35" s="4"/>
      <c r="D35" s="4"/>
      <c r="E35" s="4"/>
      <c r="F35" s="4"/>
      <c r="G35" s="14"/>
      <c r="H35" s="16" t="str">
        <f aca="false">IF(OR(B35="",G35=""),"",INT(G35)-INT(B35))</f>
        <v/>
      </c>
      <c r="I35" s="4"/>
      <c r="J35" s="16" t="str">
        <f aca="false">IF(C35="","",IF(AND(F35&lt;&gt;"",G35&lt;&gt;"",N(H35)&gt;=3,I35&lt;&gt;""),"si","no"))</f>
        <v/>
      </c>
      <c r="K35" s="16" t="str">
        <f aca="false">IF(J35="","",IF(AND(J35="si",D35&lt;&gt;"",D35&lt;&gt;"familia"),"si","no"))</f>
        <v/>
      </c>
      <c r="L35" s="4"/>
      <c r="M35" s="4"/>
      <c r="N35" s="4"/>
      <c r="O35" s="4"/>
      <c r="P35" s="4"/>
    </row>
    <row r="36" customFormat="false" ht="15" hidden="false" customHeight="false" outlineLevel="0" collapsed="false">
      <c r="A36" s="4"/>
      <c r="B36" s="14"/>
      <c r="C36" s="4"/>
      <c r="D36" s="4"/>
      <c r="E36" s="4"/>
      <c r="F36" s="4"/>
      <c r="G36" s="14"/>
      <c r="H36" s="16" t="str">
        <f aca="false">IF(OR(B36="",G36=""),"",INT(G36)-INT(B36))</f>
        <v/>
      </c>
      <c r="I36" s="4"/>
      <c r="J36" s="16" t="str">
        <f aca="false">IF(C36="","",IF(AND(F36&lt;&gt;"",G36&lt;&gt;"",N(H36)&gt;=3,I36&lt;&gt;""),"si","no"))</f>
        <v/>
      </c>
      <c r="K36" s="16" t="str">
        <f aca="false">IF(J36="","",IF(AND(J36="si",D36&lt;&gt;"",D36&lt;&gt;"familia"),"si","no"))</f>
        <v/>
      </c>
      <c r="L36" s="4"/>
      <c r="M36" s="4"/>
      <c r="N36" s="4"/>
      <c r="O36" s="4"/>
      <c r="P36" s="4"/>
    </row>
    <row r="37" customFormat="false" ht="15" hidden="false" customHeight="false" outlineLevel="0" collapsed="false">
      <c r="A37" s="4"/>
      <c r="B37" s="14"/>
      <c r="C37" s="4"/>
      <c r="D37" s="4"/>
      <c r="E37" s="4"/>
      <c r="F37" s="4"/>
      <c r="G37" s="14"/>
      <c r="H37" s="16" t="str">
        <f aca="false">IF(OR(B37="",G37=""),"",INT(G37)-INT(B37))</f>
        <v/>
      </c>
      <c r="I37" s="4"/>
      <c r="J37" s="16" t="str">
        <f aca="false">IF(C37="","",IF(AND(F37&lt;&gt;"",G37&lt;&gt;"",N(H37)&gt;=3,I37&lt;&gt;""),"si","no"))</f>
        <v/>
      </c>
      <c r="K37" s="16" t="str">
        <f aca="false">IF(J37="","",IF(AND(J37="si",D37&lt;&gt;"",D37&lt;&gt;"familia"),"si","no"))</f>
        <v/>
      </c>
      <c r="L37" s="4"/>
      <c r="M37" s="4"/>
      <c r="N37" s="4"/>
      <c r="O37" s="4"/>
      <c r="P37" s="4"/>
    </row>
    <row r="38" customFormat="false" ht="15" hidden="false" customHeight="false" outlineLevel="0" collapsed="false">
      <c r="A38" s="4"/>
      <c r="B38" s="14"/>
      <c r="C38" s="4"/>
      <c r="D38" s="4"/>
      <c r="E38" s="4"/>
      <c r="F38" s="4"/>
      <c r="G38" s="14"/>
      <c r="H38" s="16" t="str">
        <f aca="false">IF(OR(B38="",G38=""),"",INT(G38)-INT(B38))</f>
        <v/>
      </c>
      <c r="I38" s="4"/>
      <c r="J38" s="16" t="str">
        <f aca="false">IF(C38="","",IF(AND(F38&lt;&gt;"",G38&lt;&gt;"",N(H38)&gt;=3,I38&lt;&gt;""),"si","no"))</f>
        <v/>
      </c>
      <c r="K38" s="16" t="str">
        <f aca="false">IF(J38="","",IF(AND(J38="si",D38&lt;&gt;"",D38&lt;&gt;"familia"),"si","no"))</f>
        <v/>
      </c>
      <c r="L38" s="4"/>
      <c r="M38" s="4"/>
      <c r="N38" s="4"/>
      <c r="O38" s="4"/>
      <c r="P38" s="4"/>
    </row>
    <row r="39" customFormat="false" ht="15" hidden="false" customHeight="false" outlineLevel="0" collapsed="false">
      <c r="A39" s="4"/>
      <c r="B39" s="14"/>
      <c r="C39" s="4"/>
      <c r="D39" s="4"/>
      <c r="E39" s="4"/>
      <c r="F39" s="4"/>
      <c r="G39" s="14"/>
      <c r="H39" s="16" t="str">
        <f aca="false">IF(OR(B39="",G39=""),"",INT(G39)-INT(B39))</f>
        <v/>
      </c>
      <c r="I39" s="4"/>
      <c r="J39" s="16" t="str">
        <f aca="false">IF(C39="","",IF(AND(F39&lt;&gt;"",G39&lt;&gt;"",N(H39)&gt;=3,I39&lt;&gt;""),"si","no"))</f>
        <v/>
      </c>
      <c r="K39" s="16" t="str">
        <f aca="false">IF(J39="","",IF(AND(J39="si",D39&lt;&gt;"",D39&lt;&gt;"familia"),"si","no"))</f>
        <v/>
      </c>
      <c r="L39" s="4"/>
      <c r="M39" s="4"/>
      <c r="N39" s="4"/>
      <c r="O39" s="4"/>
      <c r="P39" s="4"/>
    </row>
    <row r="40" customFormat="false" ht="15" hidden="false" customHeight="false" outlineLevel="0" collapsed="false">
      <c r="A40" s="4"/>
      <c r="B40" s="14"/>
      <c r="C40" s="4"/>
      <c r="D40" s="4"/>
      <c r="E40" s="4"/>
      <c r="F40" s="4"/>
      <c r="G40" s="14"/>
      <c r="H40" s="16" t="str">
        <f aca="false">IF(OR(B40="",G40=""),"",INT(G40)-INT(B40))</f>
        <v/>
      </c>
      <c r="I40" s="4"/>
      <c r="J40" s="16" t="str">
        <f aca="false">IF(C40="","",IF(AND(F40&lt;&gt;"",G40&lt;&gt;"",N(H40)&gt;=3,I40&lt;&gt;""),"si","no"))</f>
        <v/>
      </c>
      <c r="K40" s="16" t="str">
        <f aca="false">IF(J40="","",IF(AND(J40="si",D40&lt;&gt;"",D40&lt;&gt;"familia"),"si","no"))</f>
        <v/>
      </c>
      <c r="L40" s="4"/>
      <c r="M40" s="4"/>
      <c r="N40" s="4"/>
      <c r="O40" s="4"/>
      <c r="P40" s="4"/>
    </row>
    <row r="41" customFormat="false" ht="15" hidden="false" customHeight="false" outlineLevel="0" collapsed="false">
      <c r="A41" s="4"/>
      <c r="B41" s="14"/>
      <c r="C41" s="4"/>
      <c r="D41" s="4"/>
      <c r="E41" s="4"/>
      <c r="F41" s="4"/>
      <c r="G41" s="14"/>
      <c r="H41" s="16" t="str">
        <f aca="false">IF(OR(B41="",G41=""),"",INT(G41)-INT(B41))</f>
        <v/>
      </c>
      <c r="I41" s="4"/>
      <c r="J41" s="16" t="str">
        <f aca="false">IF(C41="","",IF(AND(F41&lt;&gt;"",G41&lt;&gt;"",N(H41)&gt;=3,I41&lt;&gt;""),"si","no"))</f>
        <v/>
      </c>
      <c r="K41" s="16" t="str">
        <f aca="false">IF(J41="","",IF(AND(J41="si",D41&lt;&gt;"",D41&lt;&gt;"familia"),"si","no"))</f>
        <v/>
      </c>
      <c r="L41" s="4"/>
      <c r="M41" s="4"/>
      <c r="N41" s="4"/>
      <c r="O41" s="4"/>
      <c r="P41" s="4"/>
    </row>
    <row r="42" customFormat="false" ht="15" hidden="false" customHeight="false" outlineLevel="0" collapsed="false">
      <c r="A42" s="4"/>
      <c r="B42" s="14"/>
      <c r="C42" s="4"/>
      <c r="D42" s="4"/>
      <c r="E42" s="4"/>
      <c r="F42" s="4"/>
      <c r="G42" s="14"/>
      <c r="H42" s="16" t="str">
        <f aca="false">IF(OR(B42="",G42=""),"",INT(G42)-INT(B42))</f>
        <v/>
      </c>
      <c r="I42" s="4"/>
      <c r="J42" s="16" t="str">
        <f aca="false">IF(C42="","",IF(AND(F42&lt;&gt;"",G42&lt;&gt;"",N(H42)&gt;=3,I42&lt;&gt;""),"si","no"))</f>
        <v/>
      </c>
      <c r="K42" s="16" t="str">
        <f aca="false">IF(J42="","",IF(AND(J42="si",D42&lt;&gt;"",D42&lt;&gt;"familia"),"si","no"))</f>
        <v/>
      </c>
      <c r="L42" s="4"/>
      <c r="M42" s="4"/>
      <c r="N42" s="4"/>
      <c r="O42" s="4"/>
      <c r="P42" s="4"/>
    </row>
    <row r="43" customFormat="false" ht="15" hidden="false" customHeight="false" outlineLevel="0" collapsed="false">
      <c r="A43" s="4"/>
      <c r="B43" s="14"/>
      <c r="C43" s="4"/>
      <c r="D43" s="4"/>
      <c r="E43" s="4"/>
      <c r="F43" s="4"/>
      <c r="G43" s="14"/>
      <c r="H43" s="16" t="str">
        <f aca="false">IF(OR(B43="",G43=""),"",INT(G43)-INT(B43))</f>
        <v/>
      </c>
      <c r="I43" s="4"/>
      <c r="J43" s="16" t="str">
        <f aca="false">IF(C43="","",IF(AND(F43&lt;&gt;"",G43&lt;&gt;"",N(H43)&gt;=3,I43&lt;&gt;""),"si","no"))</f>
        <v/>
      </c>
      <c r="K43" s="16" t="str">
        <f aca="false">IF(J43="","",IF(AND(J43="si",D43&lt;&gt;"",D43&lt;&gt;"familia"),"si","no"))</f>
        <v/>
      </c>
      <c r="L43" s="4"/>
      <c r="M43" s="4"/>
      <c r="N43" s="4"/>
      <c r="O43" s="4"/>
      <c r="P43" s="4"/>
    </row>
    <row r="44" customFormat="false" ht="15" hidden="false" customHeight="false" outlineLevel="0" collapsed="false">
      <c r="A44" s="4"/>
      <c r="B44" s="14"/>
      <c r="C44" s="4"/>
      <c r="D44" s="4"/>
      <c r="E44" s="4"/>
      <c r="F44" s="4"/>
      <c r="G44" s="14"/>
      <c r="H44" s="16" t="str">
        <f aca="false">IF(OR(B44="",G44=""),"",INT(G44)-INT(B44))</f>
        <v/>
      </c>
      <c r="I44" s="4"/>
      <c r="J44" s="16" t="str">
        <f aca="false">IF(C44="","",IF(AND(F44&lt;&gt;"",G44&lt;&gt;"",N(H44)&gt;=3,I44&lt;&gt;""),"si","no"))</f>
        <v/>
      </c>
      <c r="K44" s="16" t="str">
        <f aca="false">IF(J44="","",IF(AND(J44="si",D44&lt;&gt;"",D44&lt;&gt;"familia"),"si","no"))</f>
        <v/>
      </c>
      <c r="L44" s="4"/>
      <c r="M44" s="4"/>
      <c r="N44" s="4"/>
      <c r="O44" s="4"/>
      <c r="P44" s="4"/>
    </row>
    <row r="45" customFormat="false" ht="15" hidden="false" customHeight="false" outlineLevel="0" collapsed="false">
      <c r="A45" s="4"/>
      <c r="B45" s="14"/>
      <c r="C45" s="4"/>
      <c r="D45" s="4"/>
      <c r="E45" s="4"/>
      <c r="F45" s="4"/>
      <c r="G45" s="14"/>
      <c r="H45" s="16" t="str">
        <f aca="false">IF(OR(B45="",G45=""),"",INT(G45)-INT(B45))</f>
        <v/>
      </c>
      <c r="I45" s="4"/>
      <c r="J45" s="16" t="str">
        <f aca="false">IF(C45="","",IF(AND(F45&lt;&gt;"",G45&lt;&gt;"",N(H45)&gt;=3,I45&lt;&gt;""),"si","no"))</f>
        <v/>
      </c>
      <c r="K45" s="16" t="str">
        <f aca="false">IF(J45="","",IF(AND(J45="si",D45&lt;&gt;"",D45&lt;&gt;"familia"),"si","no"))</f>
        <v/>
      </c>
      <c r="L45" s="4"/>
      <c r="M45" s="4"/>
      <c r="N45" s="4"/>
      <c r="O45" s="4"/>
      <c r="P45" s="4"/>
    </row>
    <row r="46" customFormat="false" ht="15" hidden="false" customHeight="false" outlineLevel="0" collapsed="false">
      <c r="A46" s="4"/>
      <c r="B46" s="14"/>
      <c r="C46" s="4"/>
      <c r="D46" s="4"/>
      <c r="E46" s="4"/>
      <c r="F46" s="4"/>
      <c r="G46" s="14"/>
      <c r="H46" s="16" t="str">
        <f aca="false">IF(OR(B46="",G46=""),"",INT(G46)-INT(B46))</f>
        <v/>
      </c>
      <c r="I46" s="4"/>
      <c r="J46" s="16" t="str">
        <f aca="false">IF(C46="","",IF(AND(F46&lt;&gt;"",G46&lt;&gt;"",N(H46)&gt;=3,I46&lt;&gt;""),"si","no"))</f>
        <v/>
      </c>
      <c r="K46" s="16" t="str">
        <f aca="false">IF(J46="","",IF(AND(J46="si",D46&lt;&gt;"",D46&lt;&gt;"familia"),"si","no"))</f>
        <v/>
      </c>
      <c r="L46" s="4"/>
      <c r="M46" s="4"/>
      <c r="N46" s="4"/>
      <c r="O46" s="4"/>
      <c r="P46" s="4"/>
    </row>
    <row r="47" customFormat="false" ht="15" hidden="false" customHeight="false" outlineLevel="0" collapsed="false">
      <c r="A47" s="4"/>
      <c r="B47" s="14"/>
      <c r="C47" s="4"/>
      <c r="D47" s="4"/>
      <c r="E47" s="4"/>
      <c r="F47" s="4"/>
      <c r="G47" s="14"/>
      <c r="H47" s="16" t="str">
        <f aca="false">IF(OR(B47="",G47=""),"",INT(G47)-INT(B47))</f>
        <v/>
      </c>
      <c r="I47" s="4"/>
      <c r="J47" s="16" t="str">
        <f aca="false">IF(C47="","",IF(AND(F47&lt;&gt;"",G47&lt;&gt;"",N(H47)&gt;=3,I47&lt;&gt;""),"si","no"))</f>
        <v/>
      </c>
      <c r="K47" s="16" t="str">
        <f aca="false">IF(J47="","",IF(AND(J47="si",D47&lt;&gt;"",D47&lt;&gt;"familia"),"si","no"))</f>
        <v/>
      </c>
      <c r="L47" s="4"/>
      <c r="M47" s="4"/>
      <c r="N47" s="4"/>
      <c r="O47" s="4"/>
      <c r="P47" s="4"/>
    </row>
    <row r="48" customFormat="false" ht="15" hidden="false" customHeight="false" outlineLevel="0" collapsed="false">
      <c r="A48" s="4"/>
      <c r="B48" s="14"/>
      <c r="C48" s="4"/>
      <c r="D48" s="4"/>
      <c r="E48" s="4"/>
      <c r="F48" s="4"/>
      <c r="G48" s="14"/>
      <c r="H48" s="16" t="str">
        <f aca="false">IF(OR(B48="",G48=""),"",INT(G48)-INT(B48))</f>
        <v/>
      </c>
      <c r="I48" s="4"/>
      <c r="J48" s="16" t="str">
        <f aca="false">IF(C48="","",IF(AND(F48&lt;&gt;"",G48&lt;&gt;"",N(H48)&gt;=3,I48&lt;&gt;""),"si","no"))</f>
        <v/>
      </c>
      <c r="K48" s="16" t="str">
        <f aca="false">IF(J48="","",IF(AND(J48="si",D48&lt;&gt;"",D48&lt;&gt;"familia"),"si","no"))</f>
        <v/>
      </c>
      <c r="L48" s="4"/>
      <c r="M48" s="4"/>
      <c r="N48" s="4"/>
      <c r="O48" s="4"/>
      <c r="P48" s="4"/>
    </row>
    <row r="49" customFormat="false" ht="15" hidden="false" customHeight="false" outlineLevel="0" collapsed="false">
      <c r="A49" s="4"/>
      <c r="B49" s="14"/>
      <c r="C49" s="4"/>
      <c r="D49" s="4"/>
      <c r="E49" s="4"/>
      <c r="F49" s="4"/>
      <c r="G49" s="14"/>
      <c r="H49" s="16" t="str">
        <f aca="false">IF(OR(B49="",G49=""),"",INT(G49)-INT(B49))</f>
        <v/>
      </c>
      <c r="I49" s="4"/>
      <c r="J49" s="16" t="str">
        <f aca="false">IF(C49="","",IF(AND(F49&lt;&gt;"",G49&lt;&gt;"",N(H49)&gt;=3,I49&lt;&gt;""),"si","no"))</f>
        <v/>
      </c>
      <c r="K49" s="16" t="str">
        <f aca="false">IF(J49="","",IF(AND(J49="si",D49&lt;&gt;"",D49&lt;&gt;"familia"),"si","no"))</f>
        <v/>
      </c>
      <c r="L49" s="4"/>
      <c r="M49" s="4"/>
      <c r="N49" s="4"/>
      <c r="O49" s="4"/>
      <c r="P49" s="4"/>
    </row>
    <row r="50" customFormat="false" ht="15" hidden="false" customHeight="false" outlineLevel="0" collapsed="false">
      <c r="A50" s="4"/>
      <c r="B50" s="14"/>
      <c r="C50" s="4"/>
      <c r="D50" s="4"/>
      <c r="E50" s="4"/>
      <c r="F50" s="4"/>
      <c r="G50" s="14"/>
      <c r="H50" s="16" t="str">
        <f aca="false">IF(OR(B50="",G50=""),"",INT(G50)-INT(B50))</f>
        <v/>
      </c>
      <c r="I50" s="4"/>
      <c r="J50" s="16" t="str">
        <f aca="false">IF(C50="","",IF(AND(F50&lt;&gt;"",G50&lt;&gt;"",N(H50)&gt;=3,I50&lt;&gt;""),"si","no"))</f>
        <v/>
      </c>
      <c r="K50" s="16" t="str">
        <f aca="false">IF(J50="","",IF(AND(J50="si",D50&lt;&gt;"",D50&lt;&gt;"familia"),"si","no"))</f>
        <v/>
      </c>
      <c r="L50" s="4"/>
      <c r="M50" s="4"/>
      <c r="N50" s="4"/>
      <c r="O50" s="4"/>
      <c r="P50" s="4"/>
    </row>
    <row r="51" customFormat="false" ht="15" hidden="false" customHeight="false" outlineLevel="0" collapsed="false">
      <c r="A51" s="4"/>
      <c r="B51" s="14"/>
      <c r="C51" s="4"/>
      <c r="D51" s="4"/>
      <c r="E51" s="4"/>
      <c r="F51" s="4"/>
      <c r="G51" s="14"/>
      <c r="H51" s="16" t="str">
        <f aca="false">IF(OR(B51="",G51=""),"",INT(G51)-INT(B51))</f>
        <v/>
      </c>
      <c r="I51" s="4"/>
      <c r="J51" s="16" t="str">
        <f aca="false">IF(C51="","",IF(AND(F51&lt;&gt;"",G51&lt;&gt;"",N(H51)&gt;=3,I51&lt;&gt;""),"si","no"))</f>
        <v/>
      </c>
      <c r="K51" s="16" t="str">
        <f aca="false">IF(J51="","",IF(AND(J51="si",D51&lt;&gt;"",D51&lt;&gt;"familia"),"si","no"))</f>
        <v/>
      </c>
      <c r="L51" s="4"/>
      <c r="M51" s="4"/>
      <c r="N51" s="4"/>
      <c r="O51" s="4"/>
      <c r="P51" s="4"/>
    </row>
    <row r="52" customFormat="false" ht="15" hidden="false" customHeight="false" outlineLevel="0" collapsed="false">
      <c r="A52" s="4"/>
      <c r="B52" s="14"/>
      <c r="C52" s="4"/>
      <c r="D52" s="4"/>
      <c r="E52" s="4"/>
      <c r="F52" s="4"/>
      <c r="G52" s="14"/>
      <c r="H52" s="16" t="str">
        <f aca="false">IF(OR(B52="",G52=""),"",INT(G52)-INT(B52))</f>
        <v/>
      </c>
      <c r="I52" s="4"/>
      <c r="J52" s="16" t="str">
        <f aca="false">IF(C52="","",IF(AND(F52&lt;&gt;"",G52&lt;&gt;"",N(H52)&gt;=3,I52&lt;&gt;""),"si","no"))</f>
        <v/>
      </c>
      <c r="K52" s="16" t="str">
        <f aca="false">IF(J52="","",IF(AND(J52="si",D52&lt;&gt;"",D52&lt;&gt;"familia"),"si","no"))</f>
        <v/>
      </c>
      <c r="L52" s="4"/>
      <c r="M52" s="4"/>
      <c r="N52" s="4"/>
      <c r="O52" s="4"/>
      <c r="P52" s="4"/>
    </row>
    <row r="53" customFormat="false" ht="15" hidden="false" customHeight="false" outlineLevel="0" collapsed="false">
      <c r="A53" s="4"/>
      <c r="B53" s="14"/>
      <c r="C53" s="4"/>
      <c r="D53" s="4"/>
      <c r="E53" s="4"/>
      <c r="F53" s="4"/>
      <c r="G53" s="14"/>
      <c r="H53" s="16" t="str">
        <f aca="false">IF(OR(B53="",G53=""),"",INT(G53)-INT(B53))</f>
        <v/>
      </c>
      <c r="I53" s="4"/>
      <c r="J53" s="16" t="str">
        <f aca="false">IF(C53="","",IF(AND(F53&lt;&gt;"",G53&lt;&gt;"",N(H53)&gt;=3,I53&lt;&gt;""),"si","no"))</f>
        <v/>
      </c>
      <c r="K53" s="16" t="str">
        <f aca="false">IF(J53="","",IF(AND(J53="si",D53&lt;&gt;"",D53&lt;&gt;"familia"),"si","no"))</f>
        <v/>
      </c>
      <c r="L53" s="4"/>
      <c r="M53" s="4"/>
      <c r="N53" s="4"/>
      <c r="O53" s="4"/>
      <c r="P53" s="4"/>
    </row>
    <row r="54" customFormat="false" ht="15" hidden="false" customHeight="false" outlineLevel="0" collapsed="false">
      <c r="A54" s="4"/>
      <c r="B54" s="14"/>
      <c r="C54" s="4"/>
      <c r="D54" s="4"/>
      <c r="E54" s="4"/>
      <c r="F54" s="4"/>
      <c r="G54" s="14"/>
      <c r="H54" s="16" t="str">
        <f aca="false">IF(OR(B54="",G54=""),"",INT(G54)-INT(B54))</f>
        <v/>
      </c>
      <c r="I54" s="4"/>
      <c r="J54" s="16" t="str">
        <f aca="false">IF(C54="","",IF(AND(F54&lt;&gt;"",G54&lt;&gt;"",N(H54)&gt;=3,I54&lt;&gt;""),"si","no"))</f>
        <v/>
      </c>
      <c r="K54" s="16" t="str">
        <f aca="false">IF(J54="","",IF(AND(J54="si",D54&lt;&gt;"",D54&lt;&gt;"familia"),"si","no"))</f>
        <v/>
      </c>
      <c r="L54" s="4"/>
      <c r="M54" s="4"/>
      <c r="N54" s="4"/>
      <c r="O54" s="4"/>
      <c r="P54" s="4"/>
    </row>
    <row r="55" customFormat="false" ht="15" hidden="false" customHeight="false" outlineLevel="0" collapsed="false">
      <c r="A55" s="4"/>
      <c r="B55" s="14"/>
      <c r="C55" s="4"/>
      <c r="D55" s="4"/>
      <c r="E55" s="4"/>
      <c r="F55" s="4"/>
      <c r="G55" s="14"/>
      <c r="H55" s="16" t="str">
        <f aca="false">IF(OR(B55="",G55=""),"",INT(G55)-INT(B55))</f>
        <v/>
      </c>
      <c r="I55" s="4"/>
      <c r="J55" s="16" t="str">
        <f aca="false">IF(C55="","",IF(AND(F55&lt;&gt;"",G55&lt;&gt;"",N(H55)&gt;=3,I55&lt;&gt;""),"si","no"))</f>
        <v/>
      </c>
      <c r="K55" s="16" t="str">
        <f aca="false">IF(J55="","",IF(AND(J55="si",D55&lt;&gt;"",D55&lt;&gt;"familia"),"si","no"))</f>
        <v/>
      </c>
      <c r="L55" s="4"/>
      <c r="M55" s="4"/>
      <c r="N55" s="4"/>
      <c r="O55" s="4"/>
      <c r="P55" s="4"/>
    </row>
    <row r="56" customFormat="false" ht="15" hidden="false" customHeight="false" outlineLevel="0" collapsed="false">
      <c r="A56" s="4"/>
      <c r="B56" s="14"/>
      <c r="C56" s="4"/>
      <c r="D56" s="4"/>
      <c r="E56" s="4"/>
      <c r="F56" s="4"/>
      <c r="G56" s="14"/>
      <c r="H56" s="16" t="str">
        <f aca="false">IF(OR(B56="",G56=""),"",INT(G56)-INT(B56))</f>
        <v/>
      </c>
      <c r="I56" s="4"/>
      <c r="J56" s="16" t="str">
        <f aca="false">IF(C56="","",IF(AND(F56&lt;&gt;"",G56&lt;&gt;"",N(H56)&gt;=3,I56&lt;&gt;""),"si","no"))</f>
        <v/>
      </c>
      <c r="K56" s="16" t="str">
        <f aca="false">IF(J56="","",IF(AND(J56="si",D56&lt;&gt;"",D56&lt;&gt;"familia"),"si","no"))</f>
        <v/>
      </c>
      <c r="L56" s="4"/>
      <c r="M56" s="4"/>
      <c r="N56" s="4"/>
      <c r="O56" s="4"/>
      <c r="P56" s="4"/>
    </row>
    <row r="57" customFormat="false" ht="15" hidden="false" customHeight="false" outlineLevel="0" collapsed="false">
      <c r="A57" s="4"/>
      <c r="B57" s="14"/>
      <c r="C57" s="4"/>
      <c r="D57" s="4"/>
      <c r="E57" s="4"/>
      <c r="F57" s="4"/>
      <c r="G57" s="14"/>
      <c r="H57" s="16" t="str">
        <f aca="false">IF(OR(B57="",G57=""),"",INT(G57)-INT(B57))</f>
        <v/>
      </c>
      <c r="I57" s="4"/>
      <c r="J57" s="16" t="str">
        <f aca="false">IF(C57="","",IF(AND(F57&lt;&gt;"",G57&lt;&gt;"",N(H57)&gt;=3,I57&lt;&gt;""),"si","no"))</f>
        <v/>
      </c>
      <c r="K57" s="16" t="str">
        <f aca="false">IF(J57="","",IF(AND(J57="si",D57&lt;&gt;"",D57&lt;&gt;"familia"),"si","no"))</f>
        <v/>
      </c>
      <c r="L57" s="4"/>
      <c r="M57" s="4"/>
      <c r="N57" s="4"/>
      <c r="O57" s="4"/>
      <c r="P57" s="4"/>
    </row>
    <row r="58" customFormat="false" ht="15" hidden="false" customHeight="false" outlineLevel="0" collapsed="false">
      <c r="A58" s="4"/>
      <c r="B58" s="14"/>
      <c r="C58" s="4"/>
      <c r="D58" s="4"/>
      <c r="E58" s="4"/>
      <c r="F58" s="4"/>
      <c r="G58" s="14"/>
      <c r="H58" s="16" t="str">
        <f aca="false">IF(OR(B58="",G58=""),"",INT(G58)-INT(B58))</f>
        <v/>
      </c>
      <c r="I58" s="4"/>
      <c r="J58" s="16" t="str">
        <f aca="false">IF(C58="","",IF(AND(F58&lt;&gt;"",G58&lt;&gt;"",N(H58)&gt;=3,I58&lt;&gt;""),"si","no"))</f>
        <v/>
      </c>
      <c r="K58" s="16" t="str">
        <f aca="false">IF(J58="","",IF(AND(J58="si",D58&lt;&gt;"",D58&lt;&gt;"familia"),"si","no"))</f>
        <v/>
      </c>
      <c r="L58" s="4"/>
      <c r="M58" s="4"/>
      <c r="N58" s="4"/>
      <c r="O58" s="4"/>
      <c r="P58" s="4"/>
    </row>
    <row r="59" customFormat="false" ht="15" hidden="false" customHeight="false" outlineLevel="0" collapsed="false">
      <c r="A59" s="4"/>
      <c r="B59" s="14"/>
      <c r="C59" s="4"/>
      <c r="D59" s="4"/>
      <c r="E59" s="4"/>
      <c r="F59" s="4"/>
      <c r="G59" s="14"/>
      <c r="H59" s="16" t="str">
        <f aca="false">IF(OR(B59="",G59=""),"",INT(G59)-INT(B59))</f>
        <v/>
      </c>
      <c r="I59" s="4"/>
      <c r="J59" s="16" t="str">
        <f aca="false">IF(C59="","",IF(AND(F59&lt;&gt;"",G59&lt;&gt;"",N(H59)&gt;=3,I59&lt;&gt;""),"si","no"))</f>
        <v/>
      </c>
      <c r="K59" s="16" t="str">
        <f aca="false">IF(J59="","",IF(AND(J59="si",D59&lt;&gt;"",D59&lt;&gt;"familia"),"si","no"))</f>
        <v/>
      </c>
      <c r="L59" s="4"/>
      <c r="M59" s="4"/>
      <c r="N59" s="4"/>
      <c r="O59" s="4"/>
      <c r="P59" s="4"/>
    </row>
    <row r="60" customFormat="false" ht="15" hidden="false" customHeight="false" outlineLevel="0" collapsed="false">
      <c r="A60" s="4"/>
      <c r="B60" s="14"/>
      <c r="C60" s="4"/>
      <c r="D60" s="4"/>
      <c r="E60" s="4"/>
      <c r="F60" s="4"/>
      <c r="G60" s="14"/>
      <c r="H60" s="16" t="str">
        <f aca="false">IF(OR(B60="",G60=""),"",INT(G60)-INT(B60))</f>
        <v/>
      </c>
      <c r="I60" s="4"/>
      <c r="J60" s="16" t="str">
        <f aca="false">IF(C60="","",IF(AND(F60&lt;&gt;"",G60&lt;&gt;"",N(H60)&gt;=3,I60&lt;&gt;""),"si","no"))</f>
        <v/>
      </c>
      <c r="K60" s="16" t="str">
        <f aca="false">IF(J60="","",IF(AND(J60="si",D60&lt;&gt;"",D60&lt;&gt;"familia"),"si","no"))</f>
        <v/>
      </c>
      <c r="L60" s="4"/>
      <c r="M60" s="4"/>
      <c r="N60" s="4"/>
      <c r="O60" s="4"/>
      <c r="P60" s="4"/>
    </row>
  </sheetData>
  <dataValidations count="7">
    <dataValidation allowBlank="true" errorStyle="stop" operator="between" showDropDown="false" showErrorMessage="false" showInputMessage="false" sqref="D2:D60" type="list">
      <formula1>"familia,amigo,conocido-vecino"</formula1>
      <formula2>0</formula2>
    </dataValidation>
    <dataValidation allowBlank="true" errorStyle="stop" operator="between" showDropDown="false" showErrorMessage="false" showInputMessage="false" sqref="E2:E60" type="list">
      <formula1>"grupo,estado,whatsapp,instagram"</formula1>
      <formula2>0</formula2>
    </dataValidation>
    <dataValidation allowBlank="true" errorStyle="stop" operator="between" showDropDown="false" showErrorMessage="false" showInputMessage="false" sqref="F2:F60" type="list">
      <formula1>"Lemon pie,Tiramisú,Torta de zanahoria,Torta de chocolate Matilda,Brownie"</formula1>
      <formula2>0</formula2>
    </dataValidation>
    <dataValidation allowBlank="true" errorStyle="stop" operator="between" showDropDown="false" showErrorMessage="false" showInputMessage="false" sqref="I2:I60" type="list">
      <formula1>"entrega,retiro"</formula1>
      <formula2>0</formula2>
    </dataValidation>
    <dataValidation allowBlank="true" errorStyle="stop" operator="between" showDropDown="false" showErrorMessage="false" showInputMessage="false" sqref="L2:L60" type="list">
      <formula1>"fecha_menor_a_3_dias,sin_reunion,no_completo_datos,solo_comentario,otro"</formula1>
      <formula2>0</formula2>
    </dataValidation>
    <dataValidation allowBlank="true" errorStyle="stop" operator="between" showDropDown="false" showErrorMessage="false" showInputMessage="false" sqref="M2:M60" type="list">
      <formula1>"si,no"</formula1>
      <formula2>0</formula2>
    </dataValidation>
    <dataValidation allowBlank="true" errorStyle="stop" operator="between" showDropDown="false" showErrorMessage="false" showInputMessage="false" sqref="N2:N6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3" t="s">
        <v>74</v>
      </c>
      <c r="B1" s="13" t="s">
        <v>75</v>
      </c>
      <c r="C1" s="13" t="s">
        <v>76</v>
      </c>
      <c r="D1" s="13" t="s">
        <v>77</v>
      </c>
      <c r="E1" s="13" t="s">
        <v>78</v>
      </c>
      <c r="F1" s="13" t="s">
        <v>79</v>
      </c>
    </row>
    <row r="2" customFormat="false" ht="15" hidden="false" customHeight="false" outlineLevel="0" collapsed="false">
      <c r="A2" s="4" t="n">
        <v>1</v>
      </c>
      <c r="B2" s="14" t="n">
        <v>46307</v>
      </c>
      <c r="C2" s="4"/>
      <c r="D2" s="16" t="n">
        <f aca="false">IF(TRIM(C2)="",0,LEN(TRIM(C2))-LEN(SUBSTITUTE(TRIM(C2),";",""))+1)</f>
        <v>0</v>
      </c>
      <c r="E2" s="16" t="n">
        <f aca="false">SUM($D$2:D2)</f>
        <v>0</v>
      </c>
      <c r="F2" s="4" t="s">
        <v>80</v>
      </c>
    </row>
    <row r="3" customFormat="false" ht="15" hidden="false" customHeight="false" outlineLevel="0" collapsed="false">
      <c r="A3" s="4" t="n">
        <v>2</v>
      </c>
      <c r="B3" s="14" t="n">
        <v>46308</v>
      </c>
      <c r="C3" s="4"/>
      <c r="D3" s="16" t="n">
        <f aca="false">IF(TRIM(C3)="",0,LEN(TRIM(C3))-LEN(SUBSTITUTE(TRIM(C3),";",""))+1)</f>
        <v>0</v>
      </c>
      <c r="E3" s="16" t="n">
        <f aca="false">SUM($D$2:D3)</f>
        <v>0</v>
      </c>
      <c r="F3" s="4"/>
    </row>
    <row r="4" customFormat="false" ht="15" hidden="false" customHeight="false" outlineLevel="0" collapsed="false">
      <c r="A4" s="4" t="n">
        <v>3</v>
      </c>
      <c r="B4" s="14" t="n">
        <v>46309</v>
      </c>
      <c r="C4" s="4"/>
      <c r="D4" s="16" t="n">
        <f aca="false">IF(TRIM(C4)="",0,LEN(TRIM(C4))-LEN(SUBSTITUTE(TRIM(C4),";",""))+1)</f>
        <v>0</v>
      </c>
      <c r="E4" s="16" t="n">
        <f aca="false">SUM($D$2:D4)</f>
        <v>0</v>
      </c>
      <c r="F4" s="4"/>
    </row>
    <row r="5" customFormat="false" ht="15" hidden="false" customHeight="false" outlineLevel="0" collapsed="false">
      <c r="A5" s="4" t="n">
        <v>4</v>
      </c>
      <c r="B5" s="14" t="n">
        <v>46310</v>
      </c>
      <c r="C5" s="4"/>
      <c r="D5" s="16" t="n">
        <f aca="false">IF(TRIM(C5)="",0,LEN(TRIM(C5))-LEN(SUBSTITUTE(TRIM(C5),";",""))+1)</f>
        <v>0</v>
      </c>
      <c r="E5" s="16" t="n">
        <f aca="false">SUM($D$2:D5)</f>
        <v>0</v>
      </c>
      <c r="F5" s="4"/>
    </row>
    <row r="6" customFormat="false" ht="23.85" hidden="false" customHeight="false" outlineLevel="0" collapsed="false">
      <c r="A6" s="4" t="n">
        <v>5</v>
      </c>
      <c r="B6" s="14" t="n">
        <v>46311</v>
      </c>
      <c r="C6" s="4"/>
      <c r="D6" s="16" t="n">
        <f aca="false">IF(TRIM(C6)="",0,LEN(TRIM(C6))-LEN(SUBSTITUTE(TRIM(C6),";",""))+1)</f>
        <v>0</v>
      </c>
      <c r="E6" s="16" t="n">
        <f aca="false">SUM($D$2:D6)</f>
        <v>0</v>
      </c>
      <c r="F6" s="4" t="s">
        <v>81</v>
      </c>
    </row>
    <row r="7" customFormat="false" ht="23.85" hidden="false" customHeight="false" outlineLevel="0" collapsed="false">
      <c r="A7" s="4" t="n">
        <v>6</v>
      </c>
      <c r="B7" s="14" t="n">
        <v>46312</v>
      </c>
      <c r="C7" s="4"/>
      <c r="D7" s="16" t="n">
        <f aca="false">IF(TRIM(C7)="",0,LEN(TRIM(C7))-LEN(SUBSTITUTE(TRIM(C7),";",""))+1)</f>
        <v>0</v>
      </c>
      <c r="E7" s="16" t="n">
        <f aca="false">SUM($D$2:D7)</f>
        <v>0</v>
      </c>
      <c r="F7" s="4" t="s">
        <v>82</v>
      </c>
    </row>
    <row r="8" customFormat="false" ht="23.85" hidden="false" customHeight="false" outlineLevel="0" collapsed="false">
      <c r="A8" s="4" t="n">
        <v>7</v>
      </c>
      <c r="B8" s="14" t="n">
        <v>46313</v>
      </c>
      <c r="C8" s="4"/>
      <c r="D8" s="16" t="n">
        <f aca="false">IF(TRIM(C8)="",0,LEN(TRIM(C8))-LEN(SUBSTITUTE(TRIM(C8),";",""))+1)</f>
        <v>0</v>
      </c>
      <c r="E8" s="16" t="n">
        <f aca="false">SUM($D$2:D8)</f>
        <v>0</v>
      </c>
      <c r="F8" s="4" t="s">
        <v>82</v>
      </c>
    </row>
    <row r="9" customFormat="false" ht="23.85" hidden="false" customHeight="false" outlineLevel="0" collapsed="false">
      <c r="A9" s="4" t="n">
        <v>8</v>
      </c>
      <c r="B9" s="14" t="n">
        <v>46314</v>
      </c>
      <c r="C9" s="4"/>
      <c r="D9" s="16" t="n">
        <f aca="false">IF(TRIM(C9)="",0,LEN(TRIM(C9))-LEN(SUBSTITUTE(TRIM(C9),";",""))+1)</f>
        <v>0</v>
      </c>
      <c r="E9" s="16" t="n">
        <f aca="false">SUM($D$2:D9)</f>
        <v>0</v>
      </c>
      <c r="F9" s="4" t="s">
        <v>82</v>
      </c>
    </row>
    <row r="11" customFormat="false" ht="31.5" hidden="false" customHeight="true" outlineLevel="0" collapsed="false">
      <c r="A11" s="18" t="s">
        <v>83</v>
      </c>
      <c r="B11" s="18"/>
      <c r="C11" s="18"/>
      <c r="D11" s="18"/>
      <c r="E11" s="18"/>
      <c r="F11" s="18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2026-10-13T01:39:41Z</dcterms:created>
  <dc:creator>openpyxl</dc:creator>
  <dc:description/>
  <dc:language>en-US</dc:language>
  <cp:lastModifiedBy/>
  <dcterms:modified xsi:type="dcterms:W3CDTF">2026-10-13T01:39:41Z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